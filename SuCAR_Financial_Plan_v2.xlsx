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Cost Breakdown" sheetId="3" state="visible" r:id="rId3"/>
    <sheet name="Tech &amp; Cost Decisions" sheetId="4" state="visible" r:id="rId4"/>
    <sheet name="Surfaces &amp; Deliverables" sheetId="5" state="visible" r:id="rId5"/>
    <sheet name="12-Month Proj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&quot;K&quot;#,##0;(&quot;K&quot;#,##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color rgb="00000000"/>
      <sz val="11"/>
    </font>
    <font>
      <name val="Arial"/>
      <b val="1"/>
      <color rgb="000000FF"/>
      <sz val="11"/>
    </font>
    <font>
      <name val="Arial"/>
      <color rgb="00666666"/>
      <sz val="11"/>
    </font>
    <font>
      <name val="Arial"/>
      <color rgb="00666666"/>
      <sz val="9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666666"/>
      <sz val="11"/>
    </font>
    <font>
      <name val="Arial"/>
      <color rgb="000B7A3B"/>
      <sz val="11"/>
    </font>
    <font>
      <name val="Arial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9" fillId="6" borderId="1" pivotButton="0" quotePrefix="0" xfId="0"/>
    <xf numFmtId="164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166" fontId="9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3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7" fillId="0" borderId="0" pivotButton="0" quotePrefix="0" xfId="0"/>
    <xf numFmtId="164" fontId="7" fillId="0" borderId="0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0" borderId="0" pivotButton="0" quotePrefix="0" xfId="0"/>
    <xf numFmtId="0" fontId="9" fillId="0" borderId="1" pivotButton="0" quotePrefix="0" xfId="0"/>
    <xf numFmtId="0" fontId="4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/>
    </xf>
    <xf numFmtId="0" fontId="9" fillId="5" borderId="1" pivotButton="0" quotePrefix="0" xfId="0"/>
    <xf numFmtId="0" fontId="4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58" customWidth="1" min="4" max="4"/>
  </cols>
  <sheetData>
    <row r="1" ht="26" customHeight="1">
      <c r="A1" s="1" t="inlineStr">
        <is>
          <t>Summary - What it costs to ship SuCAR</t>
        </is>
      </c>
    </row>
    <row r="3" ht="30" customHeight="1">
      <c r="A3" s="2" t="inlineStr">
        <is>
          <t>Metric</t>
        </is>
      </c>
      <c r="B3" s="2" t="inlineStr">
        <is>
          <t>Lean (MVP)</t>
        </is>
      </c>
      <c r="C3" s="2" t="inlineStr">
        <is>
          <t>Standard (Prod)</t>
        </is>
      </c>
      <c r="D3" s="2" t="inlineStr">
        <is>
          <t>Notes</t>
        </is>
      </c>
    </row>
    <row r="4">
      <c r="A4" s="3" t="inlineStr">
        <is>
          <t>One-time (hard cash to launch)</t>
        </is>
      </c>
      <c r="B4" s="4">
        <f>'Cost Breakdown'!$K$4+'Cost Breakdown'!$K$6</f>
        <v/>
      </c>
      <c r="C4" s="4">
        <f>'Cost Breakdown'!$K$5+'Cost Breakdown'!$K$7</f>
        <v/>
      </c>
      <c r="D4" s="5" t="inlineStr">
        <is>
          <t>Apple $99 + Play $25 + domain $15 - covers ALL apps &amp; web surfaces</t>
        </is>
      </c>
    </row>
    <row r="5">
      <c r="A5" s="3" t="inlineStr">
        <is>
          <t>Monthly run-rate</t>
        </is>
      </c>
      <c r="B5" s="4">
        <f>'Cost Breakdown'!$K$8</f>
        <v/>
      </c>
      <c r="C5" s="4">
        <f>'Cost Breakdown'!$K$9+Assumptions!$B$8</f>
        <v/>
      </c>
      <c r="D5" s="5" t="inlineStr">
        <is>
          <t>All recurring services; Twilio OFF by default (email+Google sign-in)</t>
        </is>
      </c>
    </row>
    <row r="6">
      <c r="A6" s="6" t="inlineStr">
        <is>
          <t>Year-1 total (fixed)</t>
        </is>
      </c>
      <c r="B6" s="7">
        <f>'12-Month Projection'!N6</f>
        <v/>
      </c>
      <c r="C6" s="7">
        <f>'12-Month Projection'!N11</f>
        <v/>
      </c>
      <c r="D6" s="8" t="inlineStr">
        <is>
          <t>Recurring x 12 + one-time + annual</t>
        </is>
      </c>
    </row>
    <row r="7">
      <c r="A7" s="6" t="inlineStr">
        <is>
          <t>Year-1 total in Kwacha</t>
        </is>
      </c>
      <c r="B7" s="9">
        <f>B6*Assumptions!$B$5</f>
        <v/>
      </c>
      <c r="C7" s="9">
        <f>C6*Assumptions!$B$5</f>
        <v/>
      </c>
      <c r="D7" s="8" t="inlineStr">
        <is>
          <t>At the FX rate on Assumptions</t>
        </is>
      </c>
    </row>
    <row r="9">
      <c r="A9" s="3" t="inlineStr">
        <is>
          <t>Maps + navigation + tracking</t>
        </is>
      </c>
      <c r="B9" s="4" t="n">
        <v>0</v>
      </c>
      <c r="C9" s="4" t="n">
        <v>0</v>
      </c>
      <c r="D9" s="5" t="inlineStr">
        <is>
          <t>Mapbox free tier + Supabase realtime + deep-link nav -&gt; $0 at pilot scale</t>
        </is>
      </c>
    </row>
    <row r="10">
      <c r="A10" s="3" t="inlineStr">
        <is>
          <t>Optional one-time build/labor</t>
        </is>
      </c>
      <c r="B10" s="4">
        <f>'Surfaces &amp; Deliverables'!$E$11</f>
        <v/>
      </c>
      <c r="C10" s="4">
        <f>'Surfaces &amp; Deliverables'!$E$11</f>
        <v/>
      </c>
      <c r="D10" s="5" t="inlineStr">
        <is>
          <t>From Surfaces tab; 0 if in-house / AI-built</t>
        </is>
      </c>
    </row>
    <row r="11">
      <c r="A11" s="3" t="inlineStr">
        <is>
          <t>Variable: payment fees / yr</t>
        </is>
      </c>
      <c r="B11" s="4">
        <f>'Cost Breakdown'!$H$24</f>
        <v/>
      </c>
      <c r="C11" s="4">
        <f>'Cost Breakdown'!$H$24</f>
        <v/>
      </c>
      <c r="D11" s="5" t="inlineStr">
        <is>
          <t>Revenue-linked (~2% of digital GMV); $0 if cash-only</t>
        </is>
      </c>
    </row>
    <row r="13">
      <c r="A13" s="10" t="inlineStr">
        <is>
          <t>Read me</t>
        </is>
      </c>
    </row>
    <row r="14">
      <c r="A14" s="11" t="inlineStr">
        <is>
          <t>- Landing + Admin + Operator dashboards are ONE web app - one hosting + domain bill covers all three.</t>
        </is>
      </c>
    </row>
    <row r="15">
      <c r="A15" s="11" t="inlineStr">
        <is>
          <t>- Client + Driver apps are ONE Expo codebase; one Apple + one Google account covers all 4 store listings.</t>
        </is>
      </c>
    </row>
    <row r="16">
      <c r="A16" s="11" t="inlineStr">
        <is>
          <t>- Maps/navigation/tracking cost $0 at pilot: Mapbox free tier, Supabase realtime, and deep-link to Google Maps/Waze for driving.</t>
        </is>
      </c>
    </row>
    <row r="17">
      <c r="A17" s="11" t="inlineStr">
        <is>
          <t>- Twilio is NOT free. Default plan ships with email + Google sign-in only (Twilio $0). Set 'Phone OTP enabled?'=1 on Assumptions to add it.</t>
        </is>
      </c>
    </row>
    <row r="18">
      <c r="A18" s="11" t="inlineStr">
        <is>
          <t>- A car wash is a physical service, so Apple/Google take 0% commission - use normal payment rails.</t>
        </is>
      </c>
    </row>
    <row r="19">
      <c r="A19" s="11" t="inlineStr">
        <is>
          <t>- Change blue inputs on Assumptions (FX, GMV, fee %, EAS, Phone OTP) - every total recalculates.</t>
        </is>
      </c>
    </row>
  </sheetData>
  <mergeCells count="7">
    <mergeCell ref="A1:D1"/>
    <mergeCell ref="A17:D17"/>
    <mergeCell ref="A18:D18"/>
    <mergeCell ref="A15:D15"/>
    <mergeCell ref="A16:D16"/>
    <mergeCell ref="A19:D19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58" customWidth="1" min="4" max="4"/>
  </cols>
  <sheetData>
    <row r="1" ht="26" customHeight="1">
      <c r="A1" s="1" t="inlineStr">
        <is>
          <t>SuCAR - Deployment Budget · Assumptions &amp; Inputs</t>
        </is>
      </c>
    </row>
    <row r="2">
      <c r="A2" s="12" t="inlineStr">
        <is>
          <t>Blue cells are inputs you can change. Everything else recalculates.</t>
        </is>
      </c>
    </row>
    <row r="4" ht="30" customHeight="1">
      <c r="A4" s="2" t="inlineStr">
        <is>
          <t>Assumption</t>
        </is>
      </c>
      <c r="B4" s="2" t="inlineStr">
        <is>
          <t>Value</t>
        </is>
      </c>
      <c r="C4" s="2" t="inlineStr">
        <is>
          <t>Unit</t>
        </is>
      </c>
      <c r="D4" s="2" t="inlineStr">
        <is>
          <t>Note</t>
        </is>
      </c>
    </row>
    <row r="5">
      <c r="A5" s="3" t="inlineStr">
        <is>
          <t>FX rate (ZMW per USD)</t>
        </is>
      </c>
      <c r="B5" s="13" t="n">
        <v>27</v>
      </c>
      <c r="C5" s="14" t="inlineStr">
        <is>
          <t>K/$</t>
        </is>
      </c>
      <c r="D5" s="5" t="inlineStr">
        <is>
          <t>Approximate - verify the live rate</t>
        </is>
      </c>
    </row>
    <row r="6">
      <c r="A6" s="3" t="inlineStr">
        <is>
          <t>Digital-payment GMV (monthly)</t>
        </is>
      </c>
      <c r="B6" s="15" t="n">
        <v>0</v>
      </c>
      <c r="C6" s="14" t="inlineStr">
        <is>
          <t>USD</t>
        </is>
      </c>
      <c r="D6" s="5" t="inlineStr">
        <is>
          <t>0 = cash-only v1; set if processing mobile money/cards</t>
        </is>
      </c>
    </row>
    <row r="7">
      <c r="A7" s="3" t="inlineStr">
        <is>
          <t>Payment processing fee</t>
        </is>
      </c>
      <c r="B7" s="16" t="n">
        <v>0.02</v>
      </c>
      <c r="C7" s="14" t="inlineStr">
        <is>
          <t>%</t>
        </is>
      </c>
      <c r="D7" s="5" t="inlineStr">
        <is>
          <t>Zambian aggregator ~1.5%-3% per transaction</t>
        </is>
      </c>
    </row>
    <row r="8">
      <c r="A8" s="3" t="inlineStr">
        <is>
          <t>EAS Production add-on (optional)</t>
        </is>
      </c>
      <c r="B8" s="15" t="n">
        <v>0</v>
      </c>
      <c r="C8" s="14" t="inlineStr">
        <is>
          <t>USD/mo</t>
        </is>
      </c>
      <c r="D8" s="5" t="inlineStr">
        <is>
          <t>Set to 99 only if you need fast concurrent mobile builds</t>
        </is>
      </c>
    </row>
    <row r="9">
      <c r="A9" s="3" t="inlineStr">
        <is>
          <t>Phone OTP enabled? (1=yes, 0=no)</t>
        </is>
      </c>
      <c r="B9" s="13" t="n">
        <v>0</v>
      </c>
      <c r="C9" s="14" t="inlineStr">
        <is>
          <t>flag</t>
        </is>
      </c>
      <c r="D9" s="5" t="inlineStr">
        <is>
          <t>Email + Google sign-in are FREE. Phone OTP (Twilio) is NOT - default OFF for v1.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10" max="10"/>
    <col width="12" customWidth="1" min="11" max="11"/>
  </cols>
  <sheetData>
    <row r="1" ht="26" customHeight="1">
      <c r="A1" s="1" t="inlineStr">
        <is>
          <t>Cost Breakdown - Lean (MVP) vs Standard (Production)</t>
        </is>
      </c>
    </row>
    <row r="3" ht="30" customHeight="1">
      <c r="A3" s="2" t="inlineStr">
        <is>
          <t>Item</t>
        </is>
      </c>
      <c r="B3" s="2" t="inlineStr">
        <is>
          <t>Phase</t>
        </is>
      </c>
      <c r="C3" s="2" t="inlineStr">
        <is>
          <t>Type</t>
        </is>
      </c>
      <c r="D3" s="2" t="inlineStr">
        <is>
          <t>Factor
(/yr)</t>
        </is>
      </c>
      <c r="E3" s="2" t="inlineStr">
        <is>
          <t>Lean unit
($)</t>
        </is>
      </c>
      <c r="F3" s="2" t="inlineStr">
        <is>
          <t>Standard unit
($)</t>
        </is>
      </c>
      <c r="G3" s="2" t="inlineStr">
        <is>
          <t>Lean Yr-1
($)</t>
        </is>
      </c>
      <c r="H3" s="2" t="inlineStr">
        <is>
          <t>Standard Yr-1
($)</t>
        </is>
      </c>
      <c r="J3" s="17" t="inlineStr">
        <is>
          <t>Helper (by type)</t>
        </is>
      </c>
    </row>
    <row r="4">
      <c r="A4" s="3" t="inlineStr">
        <is>
          <t>Google Play Developer account (covers BOTH apps)</t>
        </is>
      </c>
      <c r="B4" s="18" t="inlineStr">
        <is>
          <t>5</t>
        </is>
      </c>
      <c r="C4" s="18" t="inlineStr">
        <is>
          <t>One-time</t>
        </is>
      </c>
      <c r="D4" s="18">
        <f>IF(C4="Monthly",12,1)</f>
        <v/>
      </c>
      <c r="E4" s="19" t="n">
        <v>25</v>
      </c>
      <c r="F4" s="19" t="n">
        <v>25</v>
      </c>
      <c r="G4" s="4">
        <f>E4*D4</f>
        <v/>
      </c>
      <c r="H4" s="4">
        <f>F4*D4</f>
        <v/>
      </c>
      <c r="J4" s="20" t="inlineStr">
        <is>
          <t>One-time Lean</t>
        </is>
      </c>
      <c r="K4" s="21">
        <f>SUMIFS($E$4:$E$20,$C$4:$C$20,"One-time")</f>
        <v/>
      </c>
    </row>
    <row r="5">
      <c r="A5" s="22" t="inlineStr">
        <is>
          <t>Apple Developer Program (covers BOTH apps)</t>
        </is>
      </c>
      <c r="B5" s="23" t="inlineStr">
        <is>
          <t>5</t>
        </is>
      </c>
      <c r="C5" s="23" t="inlineStr">
        <is>
          <t>Annual</t>
        </is>
      </c>
      <c r="D5" s="23">
        <f>IF(C5="Monthly",12,1)</f>
        <v/>
      </c>
      <c r="E5" s="24" t="n">
        <v>99</v>
      </c>
      <c r="F5" s="24" t="n">
        <v>99</v>
      </c>
      <c r="G5" s="25">
        <f>E5*D5</f>
        <v/>
      </c>
      <c r="H5" s="25">
        <f>F5*D5</f>
        <v/>
      </c>
      <c r="J5" s="20" t="inlineStr">
        <is>
          <t>One-time Std</t>
        </is>
      </c>
      <c r="K5" s="21">
        <f>SUMIFS($F$4:$F$20,$C$4:$C$20,"One-time")</f>
        <v/>
      </c>
    </row>
    <row r="6">
      <c r="A6" s="3" t="inlineStr">
        <is>
          <t>Domain name (.com + subdomains app./admin.)</t>
        </is>
      </c>
      <c r="B6" s="18" t="inlineStr">
        <is>
          <t>4</t>
        </is>
      </c>
      <c r="C6" s="18" t="inlineStr">
        <is>
          <t>Annual</t>
        </is>
      </c>
      <c r="D6" s="18">
        <f>IF(C6="Monthly",12,1)</f>
        <v/>
      </c>
      <c r="E6" s="19" t="n">
        <v>15</v>
      </c>
      <c r="F6" s="19" t="n">
        <v>15</v>
      </c>
      <c r="G6" s="4">
        <f>E6*D6</f>
        <v/>
      </c>
      <c r="H6" s="4">
        <f>F6*D6</f>
        <v/>
      </c>
      <c r="J6" s="20" t="inlineStr">
        <is>
          <t>Annual Lean</t>
        </is>
      </c>
      <c r="K6" s="21">
        <f>SUMIFS($E$4:$E$20,$C$4:$C$20,"Annual")</f>
        <v/>
      </c>
    </row>
    <row r="7">
      <c r="A7" s="22" t="inlineStr">
        <is>
          <t>Privacy / Terms legal review (optional)</t>
        </is>
      </c>
      <c r="B7" s="23" t="inlineStr">
        <is>
          <t>7</t>
        </is>
      </c>
      <c r="C7" s="23" t="inlineStr">
        <is>
          <t>One-time</t>
        </is>
      </c>
      <c r="D7" s="23">
        <f>IF(C7="Monthly",12,1)</f>
        <v/>
      </c>
      <c r="E7" s="24" t="n">
        <v>0</v>
      </c>
      <c r="F7" s="24" t="n">
        <v>0</v>
      </c>
      <c r="G7" s="25">
        <f>E7*D7</f>
        <v/>
      </c>
      <c r="H7" s="25">
        <f>F7*D7</f>
        <v/>
      </c>
      <c r="J7" s="20" t="inlineStr">
        <is>
          <t>Annual Std</t>
        </is>
      </c>
      <c r="K7" s="21">
        <f>SUMIFS($F$4:$F$20,$C$4:$C$20,"Annual")</f>
        <v/>
      </c>
    </row>
    <row r="8">
      <c r="A8" s="3" t="inlineStr">
        <is>
          <t>Supabase (database + auth + REALTIME tracking)</t>
        </is>
      </c>
      <c r="B8" s="18" t="inlineStr">
        <is>
          <t>3</t>
        </is>
      </c>
      <c r="C8" s="18" t="inlineStr">
        <is>
          <t>Monthly</t>
        </is>
      </c>
      <c r="D8" s="18">
        <f>IF(C8="Monthly",12,1)</f>
        <v/>
      </c>
      <c r="E8" s="19" t="n">
        <v>0</v>
      </c>
      <c r="F8" s="19" t="n">
        <v>25</v>
      </c>
      <c r="G8" s="4">
        <f>E8*D8</f>
        <v/>
      </c>
      <c r="H8" s="4">
        <f>F8*D8</f>
        <v/>
      </c>
      <c r="J8" s="20" t="inlineStr">
        <is>
          <t>Monthly Lean</t>
        </is>
      </c>
      <c r="K8" s="21">
        <f>SUMIFS($E$4:$E$20,$C$4:$C$20,"Monthly")</f>
        <v/>
      </c>
    </row>
    <row r="9">
      <c r="A9" s="22" t="inlineStr">
        <is>
          <t>Web hosting (landing + admin + operator + API)</t>
        </is>
      </c>
      <c r="B9" s="23" t="inlineStr">
        <is>
          <t>4</t>
        </is>
      </c>
      <c r="C9" s="23" t="inlineStr">
        <is>
          <t>Monthly</t>
        </is>
      </c>
      <c r="D9" s="23">
        <f>IF(C9="Monthly",12,1)</f>
        <v/>
      </c>
      <c r="E9" s="24" t="n">
        <v>7</v>
      </c>
      <c r="F9" s="24" t="n">
        <v>25</v>
      </c>
      <c r="G9" s="25">
        <f>E9*D9</f>
        <v/>
      </c>
      <c r="H9" s="25">
        <f>F9*D9</f>
        <v/>
      </c>
      <c r="J9" s="20" t="inlineStr">
        <is>
          <t>Monthly Std</t>
        </is>
      </c>
      <c r="K9" s="21">
        <f>SUMIFS($F$4:$F$20,$C$4:$C$20,"Monthly")</f>
        <v/>
      </c>
    </row>
    <row r="10">
      <c r="A10" s="3" t="inlineStr">
        <is>
          <t>SSL certificate (Let's Encrypt / host)</t>
        </is>
      </c>
      <c r="B10" s="18" t="inlineStr">
        <is>
          <t>4</t>
        </is>
      </c>
      <c r="C10" s="18" t="inlineStr">
        <is>
          <t>Monthly</t>
        </is>
      </c>
      <c r="D10" s="18">
        <f>IF(C10="Monthly",12,1)</f>
        <v/>
      </c>
      <c r="E10" s="19" t="n">
        <v>0</v>
      </c>
      <c r="F10" s="19" t="n">
        <v>0</v>
      </c>
      <c r="G10" s="4">
        <f>E10*D10</f>
        <v/>
      </c>
      <c r="H10" s="4">
        <f>F10*D10</f>
        <v/>
      </c>
    </row>
    <row r="11">
      <c r="A11" s="22" t="inlineStr">
        <is>
          <t>Internet / business data (team)</t>
        </is>
      </c>
      <c r="B11" s="23" t="inlineStr">
        <is>
          <t>8</t>
        </is>
      </c>
      <c r="C11" s="23" t="inlineStr">
        <is>
          <t>Monthly</t>
        </is>
      </c>
      <c r="D11" s="23">
        <f>IF(C11="Monthly",12,1)</f>
        <v/>
      </c>
      <c r="E11" s="24" t="n">
        <v>20</v>
      </c>
      <c r="F11" s="24" t="n">
        <v>50</v>
      </c>
      <c r="G11" s="25">
        <f>E11*D11</f>
        <v/>
      </c>
      <c r="H11" s="25">
        <f>F11*D11</f>
        <v/>
      </c>
    </row>
    <row r="12">
      <c r="A12" s="3" t="inlineStr">
        <is>
          <t>Transactional email (Resend / SendGrid)</t>
        </is>
      </c>
      <c r="B12" s="18" t="inlineStr">
        <is>
          <t>8</t>
        </is>
      </c>
      <c r="C12" s="18" t="inlineStr">
        <is>
          <t>Monthly</t>
        </is>
      </c>
      <c r="D12" s="18">
        <f>IF(C12="Monthly",12,1)</f>
        <v/>
      </c>
      <c r="E12" s="19" t="n">
        <v>0</v>
      </c>
      <c r="F12" s="19" t="n">
        <v>20</v>
      </c>
      <c r="G12" s="4">
        <f>E12*D12</f>
        <v/>
      </c>
      <c r="H12" s="4">
        <f>F12*D12</f>
        <v/>
      </c>
    </row>
    <row r="13">
      <c r="A13" s="22" t="inlineStr">
        <is>
          <t>Business email (Google Workspace, support@)</t>
        </is>
      </c>
      <c r="B13" s="23" t="inlineStr">
        <is>
          <t>8</t>
        </is>
      </c>
      <c r="C13" s="23" t="inlineStr">
        <is>
          <t>Monthly</t>
        </is>
      </c>
      <c r="D13" s="23">
        <f>IF(C13="Monthly",12,1)</f>
        <v/>
      </c>
      <c r="E13" s="24" t="n">
        <v>0</v>
      </c>
      <c r="F13" s="24" t="n">
        <v>6</v>
      </c>
      <c r="G13" s="25">
        <f>E13*D13</f>
        <v/>
      </c>
      <c r="H13" s="25">
        <f>F13*D13</f>
        <v/>
      </c>
    </row>
    <row r="14">
      <c r="A14" s="3" t="inlineStr">
        <is>
          <t>Error monitoring (Sentry)</t>
        </is>
      </c>
      <c r="B14" s="18" t="inlineStr">
        <is>
          <t>4</t>
        </is>
      </c>
      <c r="C14" s="18" t="inlineStr">
        <is>
          <t>Monthly</t>
        </is>
      </c>
      <c r="D14" s="18">
        <f>IF(C14="Monthly",12,1)</f>
        <v/>
      </c>
      <c r="E14" s="19" t="n">
        <v>0</v>
      </c>
      <c r="F14" s="19" t="n">
        <v>26</v>
      </c>
      <c r="G14" s="4">
        <f>E14*D14</f>
        <v/>
      </c>
      <c r="H14" s="4">
        <f>F14*D14</f>
        <v/>
      </c>
    </row>
    <row r="15">
      <c r="A15" s="22" t="inlineStr">
        <is>
          <t>EAS Build (mobile CI, both apps)</t>
        </is>
      </c>
      <c r="B15" s="23" t="inlineStr">
        <is>
          <t>5</t>
        </is>
      </c>
      <c r="C15" s="23" t="inlineStr">
        <is>
          <t>Monthly</t>
        </is>
      </c>
      <c r="D15" s="23">
        <f>IF(C15="Monthly",12,1)</f>
        <v/>
      </c>
      <c r="E15" s="24" t="n">
        <v>0</v>
      </c>
      <c r="F15" s="24" t="n">
        <v>0</v>
      </c>
      <c r="G15" s="25">
        <f>E15*D15</f>
        <v/>
      </c>
      <c r="H15" s="25">
        <f>F15*D15</f>
        <v/>
      </c>
    </row>
    <row r="16">
      <c r="A16" s="3" t="inlineStr">
        <is>
          <t>Mapbox - maps + geocoding + directions</t>
        </is>
      </c>
      <c r="B16" s="18" t="inlineStr">
        <is>
          <t>5</t>
        </is>
      </c>
      <c r="C16" s="18" t="inlineStr">
        <is>
          <t>Monthly</t>
        </is>
      </c>
      <c r="D16" s="18">
        <f>IF(C16="Monthly",12,1)</f>
        <v/>
      </c>
      <c r="E16" s="19" t="n">
        <v>0</v>
      </c>
      <c r="F16" s="19" t="n">
        <v>0</v>
      </c>
      <c r="G16" s="4">
        <f>E16*D16</f>
        <v/>
      </c>
      <c r="H16" s="4">
        <f>F16*D16</f>
        <v/>
      </c>
    </row>
    <row r="17">
      <c r="A17" s="22" t="inlineStr">
        <is>
          <t>Real-time driver tracking (via Supabase)</t>
        </is>
      </c>
      <c r="B17" s="23" t="inlineStr">
        <is>
          <t>5</t>
        </is>
      </c>
      <c r="C17" s="23" t="inlineStr">
        <is>
          <t>Monthly</t>
        </is>
      </c>
      <c r="D17" s="23">
        <f>IF(C17="Monthly",12,1)</f>
        <v/>
      </c>
      <c r="E17" s="24" t="n">
        <v>0</v>
      </c>
      <c r="F17" s="24" t="n">
        <v>0</v>
      </c>
      <c r="G17" s="25">
        <f>E17*D17</f>
        <v/>
      </c>
      <c r="H17" s="25">
        <f>F17*D17</f>
        <v/>
      </c>
    </row>
    <row r="18">
      <c r="A18" s="3" t="inlineStr">
        <is>
          <t>Push notifications (Expo)</t>
        </is>
      </c>
      <c r="B18" s="18" t="inlineStr">
        <is>
          <t>5</t>
        </is>
      </c>
      <c r="C18" s="18" t="inlineStr">
        <is>
          <t>Monthly</t>
        </is>
      </c>
      <c r="D18" s="18">
        <f>IF(C18="Monthly",12,1)</f>
        <v/>
      </c>
      <c r="E18" s="19" t="n">
        <v>0</v>
      </c>
      <c r="F18" s="19" t="n">
        <v>0</v>
      </c>
      <c r="G18" s="4">
        <f>E18*D18</f>
        <v/>
      </c>
      <c r="H18" s="4">
        <f>F18*D18</f>
        <v/>
      </c>
    </row>
    <row r="19">
      <c r="A19" s="22" t="inlineStr">
        <is>
          <t>Twilio (phone OTP) - OFF by default</t>
        </is>
      </c>
      <c r="B19" s="23" t="inlineStr">
        <is>
          <t>8</t>
        </is>
      </c>
      <c r="C19" s="23" t="inlineStr">
        <is>
          <t>Monthly</t>
        </is>
      </c>
      <c r="D19" s="23">
        <f>IF(C19="Monthly",12,1)</f>
        <v/>
      </c>
      <c r="E19" s="24" t="n">
        <v>0</v>
      </c>
      <c r="F19" s="25">
        <f>55*Assumptions!$B$9</f>
        <v/>
      </c>
      <c r="G19" s="25">
        <f>E19*D19</f>
        <v/>
      </c>
      <c r="H19" s="25">
        <f>F19*D19</f>
        <v/>
      </c>
    </row>
    <row r="20">
      <c r="A20" s="3" t="inlineStr">
        <is>
          <t>Google OAuth + email sign-in</t>
        </is>
      </c>
      <c r="B20" s="18" t="inlineStr">
        <is>
          <t>5</t>
        </is>
      </c>
      <c r="C20" s="18" t="inlineStr">
        <is>
          <t>One-time</t>
        </is>
      </c>
      <c r="D20" s="18">
        <f>IF(C20="Monthly",12,1)</f>
        <v/>
      </c>
      <c r="E20" s="19" t="n">
        <v>0</v>
      </c>
      <c r="F20" s="19" t="n">
        <v>0</v>
      </c>
      <c r="G20" s="4">
        <f>E20*D20</f>
        <v/>
      </c>
      <c r="H20" s="4">
        <f>F20*D20</f>
        <v/>
      </c>
    </row>
    <row r="21">
      <c r="A21" s="6" t="inlineStr">
        <is>
          <t>TOTAL (Year 1, fixed)</t>
        </is>
      </c>
      <c r="B21" s="26" t="inlineStr"/>
      <c r="C21" s="26" t="inlineStr"/>
      <c r="D21" s="26" t="inlineStr"/>
      <c r="E21" s="26" t="inlineStr"/>
      <c r="F21" s="26" t="inlineStr"/>
      <c r="G21" s="7">
        <f>SUM(G4:G20)</f>
        <v/>
      </c>
      <c r="H21" s="7">
        <f>SUM(H4:H20)</f>
        <v/>
      </c>
    </row>
    <row r="23">
      <c r="A23" s="10" t="inlineStr">
        <is>
          <t>Variable: payment processing (revenue-linked)</t>
        </is>
      </c>
    </row>
    <row r="24">
      <c r="A24" s="27" t="inlineStr">
        <is>
          <t>Estimated annual payment fees</t>
        </is>
      </c>
      <c r="B24" s="20">
        <f> GMV x 12 x fee%  (0 if cash-only)</f>
        <v/>
      </c>
      <c r="H24" s="4">
        <f>Assumptions!$B$6*12*Assumptions!$B$7</f>
        <v/>
      </c>
    </row>
  </sheetData>
  <mergeCells count="2">
    <mergeCell ref="B24:G2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8" customWidth="1" min="2" max="2"/>
    <col width="20" customWidth="1" min="3" max="3"/>
  </cols>
  <sheetData>
    <row r="1" ht="26" customHeight="1">
      <c r="A1" s="1" t="inlineStr">
        <is>
          <t>Tech &amp; Cost Decisions (specialist recommendations)</t>
        </is>
      </c>
    </row>
    <row r="3" ht="30" customHeight="1">
      <c r="A3" s="2" t="inlineStr">
        <is>
          <t>Area</t>
        </is>
      </c>
      <c r="B3" s="2" t="inlineStr">
        <is>
          <t>Recommendation</t>
        </is>
      </c>
      <c r="C3" s="2" t="inlineStr">
        <is>
          <t>Cost impact</t>
        </is>
      </c>
    </row>
    <row r="4" ht="46" customHeight="1">
      <c r="A4" s="28" t="inlineStr">
        <is>
          <t>Maps provider</t>
        </is>
      </c>
      <c r="B4" s="29" t="inlineStr">
        <is>
          <t>Stay on MAPBOX for v1 - already integrated, free tier covers the pilot, and you don't depend on its POI data (your car washes are your own DB records).</t>
        </is>
      </c>
      <c r="C4" s="30" t="inlineStr">
        <is>
          <t>$0 (free tier)</t>
        </is>
      </c>
    </row>
    <row r="5" ht="46" customHeight="1">
      <c r="A5" s="31" t="inlineStr">
        <is>
          <t>Google Maps?</t>
        </is>
      </c>
      <c r="B5" s="32" t="inlineStr">
        <is>
          <t>Only switch/hybrid later if you need premium traffic ETAs or richer address autocomplete. Generally pricier than Mapbox above free tier.</t>
        </is>
      </c>
      <c r="C5" s="33" t="inlineStr">
        <is>
          <t>Defer</t>
        </is>
      </c>
    </row>
    <row r="6" ht="46" customHeight="1">
      <c r="A6" s="28" t="inlineStr">
        <is>
          <t>Driver navigation</t>
        </is>
      </c>
      <c r="B6" s="29" t="inlineStr">
        <is>
          <t>Deep-link to the driver's Google Maps / Waze app for the actual drive instead of building in-app turn-by-turn. Free, traffic-aware, best-in-class.</t>
        </is>
      </c>
      <c r="C6" s="30" t="inlineStr">
        <is>
          <t>$0</t>
        </is>
      </c>
    </row>
    <row r="7" ht="46" customHeight="1">
      <c r="A7" s="31" t="inlineStr">
        <is>
          <t>Real-time tracking</t>
        </is>
      </c>
      <c r="B7" s="32" t="inlineStr">
        <is>
          <t>Driver location -&gt; Supabase realtime websocket -&gt; client; the map only renders the moving marker. NOT a maps-vendor charge.</t>
        </is>
      </c>
      <c r="C7" s="33" t="inlineStr">
        <is>
          <t>Included in Supabase</t>
        </is>
      </c>
    </row>
    <row r="8" ht="46" customHeight="1">
      <c r="A8" s="28" t="inlineStr">
        <is>
          <t>Mobile map tech</t>
        </is>
      </c>
      <c r="B8" s="29" t="inlineStr">
        <is>
          <t>When time allows, move the WebView map to the native @rnmapbox/maps SDK for smoother tracking (still Mapbox, still free).</t>
        </is>
      </c>
      <c r="C8" s="30" t="inlineStr">
        <is>
          <t>$0</t>
        </is>
      </c>
    </row>
    <row r="9" ht="46" customHeight="1">
      <c r="A9" s="31" t="inlineStr">
        <is>
          <t>Phone OTP</t>
        </is>
      </c>
      <c r="B9" s="32" t="inlineStr">
        <is>
          <t>Launch with EMAIL + GOOGLE sign-in only (both free). Defer phone OTP - Twilio is not free (~$55/mo at ~1k verifications).</t>
        </is>
      </c>
      <c r="C9" s="33" t="inlineStr">
        <is>
          <t>$0 (vs ~$55/mo)</t>
        </is>
      </c>
    </row>
    <row r="10" ht="46" customHeight="1">
      <c r="A10" s="28" t="inlineStr">
        <is>
          <t>Phone OTP later</t>
        </is>
      </c>
      <c r="B10" s="29" t="inlineStr">
        <is>
          <t>If/when needed, compare Firebase Phone Auth (free monthly allowance) and a local Zambian SMS aggregator vs Twilio.</t>
        </is>
      </c>
      <c r="C10" s="30" t="inlineStr">
        <is>
          <t>Variable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2" customWidth="1" min="3" max="3"/>
    <col width="15" customWidth="1" min="4" max="4"/>
    <col width="20" customWidth="1" min="5" max="5"/>
  </cols>
  <sheetData>
    <row r="1" ht="26" customHeight="1">
      <c r="A1" s="1" t="inlineStr">
        <is>
          <t>Surfaces &amp; Deliverables - what each one costs to run</t>
        </is>
      </c>
    </row>
    <row r="2">
      <c r="A2" s="12" t="inlineStr">
        <is>
          <t>All product surfaces share the infrastructure already budgeted - no per-surface hosting or store fees.</t>
        </is>
      </c>
    </row>
    <row r="4" ht="30" customHeight="1">
      <c r="A4" s="2" t="inlineStr">
        <is>
          <t>Surface</t>
        </is>
      </c>
      <c r="B4" s="2" t="inlineStr">
        <is>
          <t>Platform</t>
        </is>
      </c>
      <c r="C4" s="2" t="inlineStr">
        <is>
          <t>Covered by (already budgeted)</t>
        </is>
      </c>
      <c r="D4" s="2" t="inlineStr">
        <is>
          <t>Extra infra cost</t>
        </is>
      </c>
      <c r="E4" s="2" t="inlineStr">
        <is>
          <t>Build effort (optional, $)</t>
        </is>
      </c>
    </row>
    <row r="5">
      <c r="A5" s="3" t="inlineStr">
        <is>
          <t>Landing page</t>
        </is>
      </c>
      <c r="B5" s="18" t="inlineStr">
        <is>
          <t>Web</t>
        </is>
      </c>
      <c r="C5" s="29" t="inlineStr">
        <is>
          <t>Web hosting + domain</t>
        </is>
      </c>
      <c r="D5" s="34" t="n">
        <v>0</v>
      </c>
      <c r="E5" s="19" t="n">
        <v>0</v>
      </c>
    </row>
    <row r="6">
      <c r="A6" s="22" t="inlineStr">
        <is>
          <t>Admin panel</t>
        </is>
      </c>
      <c r="B6" s="23" t="inlineStr">
        <is>
          <t>Web</t>
        </is>
      </c>
      <c r="C6" s="32" t="inlineStr">
        <is>
          <t>Same web app / deploy</t>
        </is>
      </c>
      <c r="D6" s="35" t="n">
        <v>0</v>
      </c>
      <c r="E6" s="24" t="n">
        <v>0</v>
      </c>
    </row>
    <row r="7">
      <c r="A7" s="3" t="inlineStr">
        <is>
          <t>Operator (car wash) dashboard</t>
        </is>
      </c>
      <c r="B7" s="18" t="inlineStr">
        <is>
          <t>Web</t>
        </is>
      </c>
      <c r="C7" s="29" t="inlineStr">
        <is>
          <t>Same web app / deploy</t>
        </is>
      </c>
      <c r="D7" s="34" t="n">
        <v>0</v>
      </c>
      <c r="E7" s="19" t="n">
        <v>0</v>
      </c>
    </row>
    <row r="8">
      <c r="A8" s="22" t="inlineStr">
        <is>
          <t>Backend API</t>
        </is>
      </c>
      <c r="B8" s="23" t="inlineStr">
        <is>
          <t>Server</t>
        </is>
      </c>
      <c r="C8" s="32" t="inlineStr">
        <is>
          <t>Web hosting + Supabase</t>
        </is>
      </c>
      <c r="D8" s="35" t="n">
        <v>0</v>
      </c>
      <c r="E8" s="24" t="n">
        <v>0</v>
      </c>
    </row>
    <row r="9">
      <c r="A9" s="3" t="inlineStr">
        <is>
          <t>Client app</t>
        </is>
      </c>
      <c r="B9" s="18" t="inlineStr">
        <is>
          <t>iOS + Android</t>
        </is>
      </c>
      <c r="C9" s="29" t="inlineStr">
        <is>
          <t>One Expo codebase + EAS + store accounts</t>
        </is>
      </c>
      <c r="D9" s="34" t="n">
        <v>0</v>
      </c>
      <c r="E9" s="19" t="n">
        <v>0</v>
      </c>
    </row>
    <row r="10">
      <c r="A10" s="22" t="inlineStr">
        <is>
          <t>Driver app</t>
        </is>
      </c>
      <c r="B10" s="23" t="inlineStr">
        <is>
          <t>iOS + Android</t>
        </is>
      </c>
      <c r="C10" s="32" t="inlineStr">
        <is>
          <t>Same Expo codebase (variant) + store accounts</t>
        </is>
      </c>
      <c r="D10" s="35" t="n">
        <v>0</v>
      </c>
      <c r="E10" s="24" t="n">
        <v>0</v>
      </c>
    </row>
    <row r="11">
      <c r="A11" s="6" t="inlineStr">
        <is>
          <t>TOTAL</t>
        </is>
      </c>
      <c r="B11" s="26" t="inlineStr"/>
      <c r="C11" s="26" t="inlineStr"/>
      <c r="D11" s="7">
        <f>SUM(D5:D10)</f>
        <v/>
      </c>
      <c r="E11" s="7">
        <f>SUM(E5:E10)</f>
        <v/>
      </c>
    </row>
    <row r="13">
      <c r="A13" s="20" t="inlineStr">
        <is>
          <t>Note: 'Build effort' is optional one-time labor if you contract help. Leave 0 if building in-house / with AI.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</cols>
  <sheetData>
    <row r="1" ht="26" customHeight="1">
      <c r="A1" s="1" t="inlineStr">
        <is>
          <t>12-Month Cash Projection (USD)</t>
        </is>
      </c>
    </row>
    <row r="3" ht="30" customHeight="1">
      <c r="A3" s="2" t="inlineStr">
        <is>
          <t>Line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Year 1</t>
        </is>
      </c>
    </row>
    <row r="4">
      <c r="A4" s="22" t="inlineStr">
        <is>
          <t>Lean - recurring</t>
        </is>
      </c>
      <c r="B4" s="4">
        <f>'Cost Breakdown'!$K$8</f>
        <v/>
      </c>
      <c r="C4" s="4">
        <f>'Cost Breakdown'!$K$8</f>
        <v/>
      </c>
      <c r="D4" s="4">
        <f>'Cost Breakdown'!$K$8</f>
        <v/>
      </c>
      <c r="E4" s="4">
        <f>'Cost Breakdown'!$K$8</f>
        <v/>
      </c>
      <c r="F4" s="4">
        <f>'Cost Breakdown'!$K$8</f>
        <v/>
      </c>
      <c r="G4" s="4">
        <f>'Cost Breakdown'!$K$8</f>
        <v/>
      </c>
      <c r="H4" s="4">
        <f>'Cost Breakdown'!$K$8</f>
        <v/>
      </c>
      <c r="I4" s="4">
        <f>'Cost Breakdown'!$K$8</f>
        <v/>
      </c>
      <c r="J4" s="4">
        <f>'Cost Breakdown'!$K$8</f>
        <v/>
      </c>
      <c r="K4" s="4">
        <f>'Cost Breakdown'!$K$8</f>
        <v/>
      </c>
      <c r="L4" s="4">
        <f>'Cost Breakdown'!$K$8</f>
        <v/>
      </c>
      <c r="M4" s="4">
        <f>'Cost Breakdown'!$K$8</f>
        <v/>
      </c>
      <c r="N4" s="36">
        <f>SUM(B4:M4)</f>
        <v/>
      </c>
    </row>
    <row r="5">
      <c r="A5" s="22" t="inlineStr">
        <is>
          <t>Lean - one-time &amp; annual</t>
        </is>
      </c>
      <c r="B5" s="4">
        <f>'Cost Breakdown'!$K$4+'Cost Breakdown'!$K$6</f>
        <v/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36">
        <f>SUM(B5:M5)</f>
        <v/>
      </c>
    </row>
    <row r="6">
      <c r="A6" s="6" t="inlineStr">
        <is>
          <t>Lean - total monthly</t>
        </is>
      </c>
      <c r="B6" s="7">
        <f>B4+B5</f>
        <v/>
      </c>
      <c r="C6" s="7">
        <f>C4+C5</f>
        <v/>
      </c>
      <c r="D6" s="7">
        <f>D4+D5</f>
        <v/>
      </c>
      <c r="E6" s="7">
        <f>E4+E5</f>
        <v/>
      </c>
      <c r="F6" s="7">
        <f>F4+F5</f>
        <v/>
      </c>
      <c r="G6" s="7">
        <f>G4+G5</f>
        <v/>
      </c>
      <c r="H6" s="7">
        <f>H4+H5</f>
        <v/>
      </c>
      <c r="I6" s="7">
        <f>I4+I5</f>
        <v/>
      </c>
      <c r="J6" s="7">
        <f>J4+J5</f>
        <v/>
      </c>
      <c r="K6" s="7">
        <f>K4+K5</f>
        <v/>
      </c>
      <c r="L6" s="7">
        <f>L4+L5</f>
        <v/>
      </c>
      <c r="M6" s="7">
        <f>M4+M5</f>
        <v/>
      </c>
      <c r="N6" s="7">
        <f>SUM(B6:M6)</f>
        <v/>
      </c>
    </row>
    <row r="7">
      <c r="A7" s="3" t="inlineStr">
        <is>
          <t>Lean - cumulative</t>
        </is>
      </c>
      <c r="B7" s="4">
        <f>B6</f>
        <v/>
      </c>
      <c r="C7" s="4">
        <f>B7+C6</f>
        <v/>
      </c>
      <c r="D7" s="4">
        <f>C7+D6</f>
        <v/>
      </c>
      <c r="E7" s="4">
        <f>D7+E6</f>
        <v/>
      </c>
      <c r="F7" s="4">
        <f>E7+F6</f>
        <v/>
      </c>
      <c r="G7" s="4">
        <f>F7+G6</f>
        <v/>
      </c>
      <c r="H7" s="4">
        <f>G7+H6</f>
        <v/>
      </c>
      <c r="I7" s="4">
        <f>H7+I6</f>
        <v/>
      </c>
      <c r="J7" s="4">
        <f>I7+J6</f>
        <v/>
      </c>
      <c r="K7" s="4">
        <f>J7+K6</f>
        <v/>
      </c>
      <c r="L7" s="4">
        <f>K7+L6</f>
        <v/>
      </c>
      <c r="M7" s="4">
        <f>L7+M6</f>
        <v/>
      </c>
      <c r="N7" s="36">
        <f>N6</f>
        <v/>
      </c>
    </row>
    <row r="9">
      <c r="A9" s="22" t="inlineStr">
        <is>
          <t>Standard - recurring</t>
        </is>
      </c>
      <c r="B9" s="4">
        <f>'Cost Breakdown'!$K$9</f>
        <v/>
      </c>
      <c r="C9" s="4">
        <f>'Cost Breakdown'!$K$9</f>
        <v/>
      </c>
      <c r="D9" s="4">
        <f>'Cost Breakdown'!$K$9</f>
        <v/>
      </c>
      <c r="E9" s="4">
        <f>'Cost Breakdown'!$K$9</f>
        <v/>
      </c>
      <c r="F9" s="4">
        <f>'Cost Breakdown'!$K$9</f>
        <v/>
      </c>
      <c r="G9" s="4">
        <f>'Cost Breakdown'!$K$9</f>
        <v/>
      </c>
      <c r="H9" s="4">
        <f>'Cost Breakdown'!$K$9</f>
        <v/>
      </c>
      <c r="I9" s="4">
        <f>'Cost Breakdown'!$K$9</f>
        <v/>
      </c>
      <c r="J9" s="4">
        <f>'Cost Breakdown'!$K$9</f>
        <v/>
      </c>
      <c r="K9" s="4">
        <f>'Cost Breakdown'!$K$9</f>
        <v/>
      </c>
      <c r="L9" s="4">
        <f>'Cost Breakdown'!$K$9</f>
        <v/>
      </c>
      <c r="M9" s="4">
        <f>'Cost Breakdown'!$K$9</f>
        <v/>
      </c>
      <c r="N9" s="36">
        <f>SUM(B9:M9)</f>
        <v/>
      </c>
    </row>
    <row r="10">
      <c r="A10" s="22" t="inlineStr">
        <is>
          <t>Standard - one-time &amp; annual</t>
        </is>
      </c>
      <c r="B10" s="4">
        <f>'Cost Breakdown'!$K$5+'Cost Breakdown'!$K$7</f>
        <v/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36">
        <f>SUM(B10:M10)</f>
        <v/>
      </c>
    </row>
    <row r="11">
      <c r="A11" s="6" t="inlineStr">
        <is>
          <t>Standard - total monthly</t>
        </is>
      </c>
      <c r="B11" s="7">
        <f>B9+B10</f>
        <v/>
      </c>
      <c r="C11" s="7">
        <f>C9+C10</f>
        <v/>
      </c>
      <c r="D11" s="7">
        <f>D9+D10</f>
        <v/>
      </c>
      <c r="E11" s="7">
        <f>E9+E10</f>
        <v/>
      </c>
      <c r="F11" s="7">
        <f>F9+F10</f>
        <v/>
      </c>
      <c r="G11" s="7">
        <f>G9+G10</f>
        <v/>
      </c>
      <c r="H11" s="7">
        <f>H9+H10</f>
        <v/>
      </c>
      <c r="I11" s="7">
        <f>I9+I10</f>
        <v/>
      </c>
      <c r="J11" s="7">
        <f>J9+J10</f>
        <v/>
      </c>
      <c r="K11" s="7">
        <f>K9+K10</f>
        <v/>
      </c>
      <c r="L11" s="7">
        <f>L9+L10</f>
        <v/>
      </c>
      <c r="M11" s="7">
        <f>M9+M10</f>
        <v/>
      </c>
      <c r="N11" s="7">
        <f>SUM(B11:M11)</f>
        <v/>
      </c>
    </row>
    <row r="12">
      <c r="A12" s="3" t="inlineStr">
        <is>
          <t>Standard - cumulative</t>
        </is>
      </c>
      <c r="B12" s="4">
        <f>B11</f>
        <v/>
      </c>
      <c r="C12" s="4">
        <f>B12+C11</f>
        <v/>
      </c>
      <c r="D12" s="4">
        <f>C12+D11</f>
        <v/>
      </c>
      <c r="E12" s="4">
        <f>D12+E11</f>
        <v/>
      </c>
      <c r="F12" s="4">
        <f>E12+F11</f>
        <v/>
      </c>
      <c r="G12" s="4">
        <f>F12+G11</f>
        <v/>
      </c>
      <c r="H12" s="4">
        <f>G12+H11</f>
        <v/>
      </c>
      <c r="I12" s="4">
        <f>H12+I11</f>
        <v/>
      </c>
      <c r="J12" s="4">
        <f>I12+J11</f>
        <v/>
      </c>
      <c r="K12" s="4">
        <f>J12+K11</f>
        <v/>
      </c>
      <c r="L12" s="4">
        <f>K12+L11</f>
        <v/>
      </c>
      <c r="M12" s="4">
        <f>L12+M11</f>
        <v/>
      </c>
      <c r="N12" s="36">
        <f>N11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2026-06-16T13:54:03Z</dcterms:created>
  <dcterms:modified xsi:type="dcterms:W3CDTF">2026-06-16T13:54:03Z</dcterms:modified>
</cp:coreProperties>
</file>